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</sheets>
  <definedNames/>
  <calcPr/>
  <extLst>
    <ext uri="GoogleSheetsCustomDataVersion2">
      <go:sheetsCustomData xmlns:go="http://customooxmlschemas.google.com/" r:id="rId5" roundtripDataChecksum="yEZwPzEJ+2K1HPcZKzsB86+4oOIdLYVT6L/jl7ZlTo0="/>
    </ext>
  </extLst>
</workbook>
</file>

<file path=xl/sharedStrings.xml><?xml version="1.0" encoding="utf-8"?>
<sst xmlns="http://schemas.openxmlformats.org/spreadsheetml/2006/main" count="75" uniqueCount="59">
  <si>
    <t>Presupuesto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</si>
  <si>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</si>
  <si>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</si>
  <si>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</si>
  <si>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</si>
  <si>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</si>
  <si>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</si>
  <si>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</si>
  <si>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</si>
  <si>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</si>
  <si>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</si>
  <si>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</si>
  <si>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</si>
  <si>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</si>
  <si>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</si>
  <si>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</si>
  <si>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</si>
  <si>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Total</t>
  </si>
  <si>
    <t>Costo unitario (por hora)</t>
  </si>
  <si>
    <t>Costo total</t>
  </si>
  <si>
    <t>Nota</t>
  </si>
  <si>
    <t>Mano de obra</t>
  </si>
  <si>
    <t>(horas)</t>
  </si>
  <si>
    <t>Analista de requerimientos</t>
  </si>
  <si>
    <t>Arquitecto de software</t>
  </si>
  <si>
    <t>Programador</t>
  </si>
  <si>
    <t>Tester</t>
  </si>
  <si>
    <t>Project Manager</t>
  </si>
  <si>
    <t>Hardware</t>
  </si>
  <si>
    <t>Cantidad</t>
  </si>
  <si>
    <t>Costo Unitario (MXN)</t>
  </si>
  <si>
    <t>Vida Útil
(años)</t>
  </si>
  <si>
    <t>Depreciación Anual</t>
  </si>
  <si>
    <t>Depreciación Mensual</t>
  </si>
  <si>
    <t>Duración del proyecto 
(meses)</t>
  </si>
  <si>
    <t>Servidor HP ProLiant</t>
  </si>
  <si>
    <t>NAS QNAP 8TB</t>
  </si>
  <si>
    <t>Switch TP-Link 24 puertos</t>
  </si>
  <si>
    <t>Impresora multifuncional</t>
  </si>
  <si>
    <t>Tablets para pruebas</t>
  </si>
  <si>
    <t>Discos externos backup</t>
  </si>
  <si>
    <t>Software</t>
  </si>
  <si>
    <t>Amortización Anual</t>
  </si>
  <si>
    <t>Amortización Mensual</t>
  </si>
  <si>
    <t>Licencia SQL Server Enterprise</t>
  </si>
  <si>
    <t>La unidad se adquiere con el servidor</t>
  </si>
  <si>
    <t>Visual studio Community</t>
  </si>
  <si>
    <t>Se adquieren unidades al inicio del proyecto</t>
  </si>
  <si>
    <t>Servicios</t>
  </si>
  <si>
    <t>Energía eléctrica</t>
  </si>
  <si>
    <t>Tarifa DAC de la CFE (Tarifa 1C)</t>
  </si>
  <si>
    <t>https://app.cfe.mx/Aplicaciones/CCFE/Tarifas/TarifasCRECasa/Tarifas/TarifaDAC.aspx</t>
  </si>
  <si>
    <t>Internet</t>
  </si>
  <si>
    <t>Se adquirió un paquete de 750MXN al mes</t>
  </si>
  <si>
    <t>Total operativo
(Hardware + Software + Servicios)</t>
  </si>
  <si>
    <t>Salarios</t>
  </si>
  <si>
    <t>Subtotal</t>
  </si>
  <si>
    <t>Imprevistos
(15%)</t>
  </si>
  <si>
    <t>Contingencia
(10%)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</si>
</sst>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9">
    <font>
      <sz val="11.0"/>
      <color theme="1"/>
      <name val="Calibri"/>
      <scheme val="minor"/>
    </font>
    <font>
      <b/>
      <sz val="18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u/>
      <color rgb="FF0000FF"/>
    </font>
    <font>
      <b/>
      <sz val="8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2" xfId="0" applyAlignment="1" applyFont="1" applyNumberFormat="1">
      <alignment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2" xfId="0" applyAlignment="1" applyFont="1" applyNumberForma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0" fontId="6" numFmtId="164" xfId="0" applyFont="1" applyNumberFormat="1"/>
    <xf borderId="0" fillId="0" fontId="5" numFmtId="0" xfId="0" applyAlignment="1" applyFont="1">
      <alignment horizontal="center" shrinkToFit="0" wrapText="1"/>
    </xf>
    <xf borderId="1" fillId="2" fontId="7" numFmtId="0" xfId="0" applyAlignment="1" applyBorder="1" applyFill="1" applyFont="1">
      <alignment horizontal="center"/>
    </xf>
    <xf borderId="2" fillId="0" fontId="8" numFmtId="0" xfId="0" applyBorder="1" applyFont="1"/>
    <xf borderId="3" fillId="2" fontId="6" numFmtId="164" xfId="0" applyBorder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cfe.mx/Aplicaciones/CCFE/Tarifas/TarifasCRECasa/Tarifas/TarifaDAC.asp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0.71"/>
    <col customWidth="1" min="3" max="3" width="12.86"/>
    <col customWidth="1" min="4" max="6" width="10.71"/>
    <col customWidth="1" min="7" max="7" width="14.0"/>
    <col customWidth="1" min="8" max="9" width="10.71"/>
    <col customWidth="1" min="10" max="10" width="14.14"/>
    <col customWidth="1" min="11" max="11" width="13.43"/>
    <col customWidth="1" min="12" max="12" width="13.86"/>
    <col customWidth="1" min="13" max="13" width="42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</row>
    <row r="2">
      <c r="A2" s="2"/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>
      <c r="A3" s="2" t="s">
        <v>21</v>
      </c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/>
      <c r="L3" s="2"/>
      <c r="M3" s="2"/>
    </row>
    <row r="4">
      <c r="A4" s="3" t="s">
        <v>23</v>
      </c>
      <c r="B4" s="4">
        <v>80.0</v>
      </c>
      <c r="C4" s="4">
        <v>80.0</v>
      </c>
      <c r="D4" s="4">
        <v>0.0</v>
      </c>
      <c r="E4" s="4">
        <v>0.0</v>
      </c>
      <c r="F4" s="4">
        <v>0.0</v>
      </c>
      <c r="G4" s="4"/>
      <c r="H4" s="4"/>
      <c r="I4" s="4">
        <v>0.0</v>
      </c>
      <c r="J4" s="4">
        <f t="shared" ref="J4:J8" si="1">SUM(B4:I4)</f>
        <v>160</v>
      </c>
      <c r="K4" s="5">
        <v>135.94</v>
      </c>
      <c r="L4" s="6">
        <f t="shared" ref="L4:L8" si="2">J4*K4</f>
        <v>21750.4</v>
      </c>
      <c r="M4" s="3"/>
    </row>
    <row r="5">
      <c r="A5" s="3" t="s">
        <v>24</v>
      </c>
      <c r="B5" s="4">
        <v>0.0</v>
      </c>
      <c r="C5" s="4">
        <v>40.0</v>
      </c>
      <c r="D5" s="4">
        <v>80.0</v>
      </c>
      <c r="E5" s="4">
        <v>120.0</v>
      </c>
      <c r="F5" s="4">
        <v>80.0</v>
      </c>
      <c r="G5" s="4">
        <v>0.0</v>
      </c>
      <c r="H5" s="4">
        <v>80.0</v>
      </c>
      <c r="I5" s="4">
        <v>80.0</v>
      </c>
      <c r="J5" s="4">
        <f t="shared" si="1"/>
        <v>480</v>
      </c>
      <c r="K5" s="6">
        <v>156.25</v>
      </c>
      <c r="L5" s="6">
        <f t="shared" si="2"/>
        <v>75000</v>
      </c>
      <c r="M5" s="3"/>
    </row>
    <row r="6">
      <c r="A6" s="3" t="s">
        <v>25</v>
      </c>
      <c r="B6" s="4">
        <v>0.0</v>
      </c>
      <c r="C6" s="4">
        <v>0.0</v>
      </c>
      <c r="D6" s="4">
        <v>160.0</v>
      </c>
      <c r="E6" s="4">
        <v>160.0</v>
      </c>
      <c r="F6" s="4">
        <v>160.0</v>
      </c>
      <c r="G6" s="4">
        <v>160.0</v>
      </c>
      <c r="H6" s="4">
        <v>120.0</v>
      </c>
      <c r="I6" s="4">
        <v>80.0</v>
      </c>
      <c r="J6" s="4">
        <f t="shared" si="1"/>
        <v>840</v>
      </c>
      <c r="K6" s="6">
        <v>142.8571429</v>
      </c>
      <c r="L6" s="6">
        <f t="shared" si="2"/>
        <v>120000</v>
      </c>
      <c r="M6" s="3"/>
    </row>
    <row r="7">
      <c r="A7" s="3" t="s">
        <v>26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160.0</v>
      </c>
      <c r="H7" s="4">
        <v>80.0</v>
      </c>
      <c r="I7" s="4">
        <v>0.0</v>
      </c>
      <c r="J7" s="4">
        <f t="shared" si="1"/>
        <v>240</v>
      </c>
      <c r="K7" s="6">
        <v>93.75</v>
      </c>
      <c r="L7" s="6">
        <f t="shared" si="2"/>
        <v>22500</v>
      </c>
      <c r="M7" s="3"/>
    </row>
    <row r="8">
      <c r="A8" s="3" t="s">
        <v>27</v>
      </c>
      <c r="B8" s="4">
        <v>160.0</v>
      </c>
      <c r="C8" s="4">
        <v>140.0</v>
      </c>
      <c r="D8" s="4">
        <v>120.0</v>
      </c>
      <c r="E8" s="4">
        <v>100.0</v>
      </c>
      <c r="F8" s="4">
        <v>100.0</v>
      </c>
      <c r="G8" s="4">
        <v>100.0</v>
      </c>
      <c r="H8" s="4">
        <v>160.0</v>
      </c>
      <c r="I8" s="4">
        <v>80.0</v>
      </c>
      <c r="J8" s="4">
        <f t="shared" si="1"/>
        <v>960</v>
      </c>
      <c r="K8" s="6">
        <v>125.0</v>
      </c>
      <c r="L8" s="6">
        <f t="shared" si="2"/>
        <v>120000</v>
      </c>
      <c r="M8" s="3"/>
    </row>
    <row r="9">
      <c r="A9" s="3"/>
      <c r="B9" s="4"/>
      <c r="C9" s="4"/>
      <c r="D9" s="4"/>
      <c r="E9" s="4"/>
      <c r="F9" s="4"/>
      <c r="G9" s="4"/>
      <c r="H9" s="4"/>
      <c r="I9" s="4"/>
      <c r="J9" s="4"/>
      <c r="K9" s="6"/>
      <c r="L9" s="6"/>
      <c r="M9" s="3"/>
    </row>
    <row r="10">
      <c r="A10" s="2" t="s">
        <v>28</v>
      </c>
      <c r="B10" s="7" t="s">
        <v>29</v>
      </c>
      <c r="C10" s="7" t="s">
        <v>30</v>
      </c>
      <c r="E10" s="7" t="s">
        <v>31</v>
      </c>
      <c r="G10" s="7" t="s">
        <v>32</v>
      </c>
      <c r="I10" s="2"/>
      <c r="J10" s="7" t="s">
        <v>33</v>
      </c>
      <c r="K10" s="7" t="s">
        <v>34</v>
      </c>
      <c r="L10" s="2"/>
      <c r="M10" s="2"/>
    </row>
    <row r="11">
      <c r="A11" s="8" t="s">
        <v>35</v>
      </c>
      <c r="B11" s="9">
        <v>1.0</v>
      </c>
      <c r="C11" s="6">
        <v>45000.0</v>
      </c>
      <c r="E11" s="9">
        <v>5.0</v>
      </c>
      <c r="G11" s="9">
        <f t="shared" ref="G11:G16" si="3">C11/E11</f>
        <v>9000</v>
      </c>
      <c r="I11" s="9"/>
      <c r="J11" s="9">
        <f t="shared" ref="J11:J16" si="4">G11/12</f>
        <v>750</v>
      </c>
      <c r="K11" s="9">
        <v>8.0</v>
      </c>
      <c r="L11" s="6">
        <f t="shared" ref="L11:L16" si="5">K11*J11</f>
        <v>6000</v>
      </c>
      <c r="M11" s="8"/>
    </row>
    <row r="12">
      <c r="A12" s="8" t="s">
        <v>36</v>
      </c>
      <c r="B12" s="9">
        <v>1.0</v>
      </c>
      <c r="C12" s="6">
        <v>18000.0</v>
      </c>
      <c r="E12" s="9">
        <v>4.0</v>
      </c>
      <c r="G12" s="9">
        <f t="shared" si="3"/>
        <v>4500</v>
      </c>
      <c r="I12" s="9"/>
      <c r="J12" s="9">
        <f t="shared" si="4"/>
        <v>375</v>
      </c>
      <c r="K12" s="9">
        <v>8.0</v>
      </c>
      <c r="L12" s="6">
        <f t="shared" si="5"/>
        <v>3000</v>
      </c>
      <c r="M12" s="3"/>
    </row>
    <row r="13">
      <c r="A13" s="8" t="s">
        <v>37</v>
      </c>
      <c r="B13" s="9">
        <v>1.0</v>
      </c>
      <c r="C13" s="6">
        <v>4500.0</v>
      </c>
      <c r="E13" s="9">
        <v>5.0</v>
      </c>
      <c r="G13" s="9">
        <f t="shared" si="3"/>
        <v>900</v>
      </c>
      <c r="I13" s="9"/>
      <c r="J13" s="9">
        <f t="shared" si="4"/>
        <v>75</v>
      </c>
      <c r="K13" s="9">
        <v>8.0</v>
      </c>
      <c r="L13" s="6">
        <f t="shared" si="5"/>
        <v>600</v>
      </c>
      <c r="M13" s="3"/>
    </row>
    <row r="14">
      <c r="A14" s="8" t="s">
        <v>38</v>
      </c>
      <c r="B14" s="9">
        <v>1.0</v>
      </c>
      <c r="C14" s="6">
        <v>5500.0</v>
      </c>
      <c r="E14" s="9">
        <v>3.0</v>
      </c>
      <c r="G14" s="9">
        <f t="shared" si="3"/>
        <v>1833.333333</v>
      </c>
      <c r="I14" s="9"/>
      <c r="J14" s="9">
        <f t="shared" si="4"/>
        <v>152.7777778</v>
      </c>
      <c r="K14" s="9">
        <v>8.0</v>
      </c>
      <c r="L14" s="6">
        <f t="shared" si="5"/>
        <v>1222.222222</v>
      </c>
      <c r="M14" s="3"/>
    </row>
    <row r="15">
      <c r="A15" s="8" t="s">
        <v>39</v>
      </c>
      <c r="B15" s="9">
        <v>2.0</v>
      </c>
      <c r="C15" s="6">
        <v>4200.0</v>
      </c>
      <c r="E15" s="9">
        <v>2.0</v>
      </c>
      <c r="G15" s="9">
        <f t="shared" si="3"/>
        <v>2100</v>
      </c>
      <c r="I15" s="9"/>
      <c r="J15" s="9">
        <f t="shared" si="4"/>
        <v>175</v>
      </c>
      <c r="K15" s="9">
        <v>8.0</v>
      </c>
      <c r="L15" s="6">
        <f t="shared" si="5"/>
        <v>1400</v>
      </c>
      <c r="M15" s="3"/>
    </row>
    <row r="16">
      <c r="A16" s="8" t="s">
        <v>40</v>
      </c>
      <c r="B16" s="9">
        <v>3.0</v>
      </c>
      <c r="C16" s="6">
        <v>1800.0</v>
      </c>
      <c r="E16" s="9">
        <v>2.0</v>
      </c>
      <c r="G16" s="9">
        <f t="shared" si="3"/>
        <v>900</v>
      </c>
      <c r="I16" s="9"/>
      <c r="J16" s="9">
        <f t="shared" si="4"/>
        <v>75</v>
      </c>
      <c r="K16" s="9">
        <v>8.0</v>
      </c>
      <c r="L16" s="6">
        <f t="shared" si="5"/>
        <v>600</v>
      </c>
      <c r="M16" s="3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6"/>
      <c r="L17" s="6"/>
      <c r="M17" s="3"/>
    </row>
    <row r="18">
      <c r="A18" s="2" t="s">
        <v>41</v>
      </c>
      <c r="B18" s="7" t="s">
        <v>29</v>
      </c>
      <c r="C18" s="7" t="s">
        <v>30</v>
      </c>
      <c r="E18" s="7" t="s">
        <v>31</v>
      </c>
      <c r="G18" s="7" t="s">
        <v>42</v>
      </c>
      <c r="I18" s="2"/>
      <c r="J18" s="7" t="s">
        <v>43</v>
      </c>
      <c r="K18" s="7" t="s">
        <v>34</v>
      </c>
      <c r="L18" s="2"/>
      <c r="M18" s="2"/>
    </row>
    <row r="19">
      <c r="A19" s="3" t="s">
        <v>44</v>
      </c>
      <c r="B19" s="4">
        <v>1.0</v>
      </c>
      <c r="C19" s="6">
        <v>217230.0</v>
      </c>
      <c r="D19" s="4"/>
      <c r="E19" s="9">
        <v>5.0</v>
      </c>
      <c r="F19" s="4"/>
      <c r="G19" s="4">
        <f t="shared" ref="G19:G20" si="6">C19/$E$19</f>
        <v>43446</v>
      </c>
      <c r="H19" s="4"/>
      <c r="I19" s="4"/>
      <c r="J19" s="4">
        <f t="shared" ref="J19:J20" si="7">G19/12</f>
        <v>3620.5</v>
      </c>
      <c r="K19" s="9">
        <v>8.0</v>
      </c>
      <c r="L19" s="6">
        <f t="shared" ref="L19:L20" si="8">J19*K19</f>
        <v>28964</v>
      </c>
      <c r="M19" s="8" t="s">
        <v>45</v>
      </c>
    </row>
    <row r="20">
      <c r="A20" s="3" t="s">
        <v>46</v>
      </c>
      <c r="B20" s="4">
        <v>1.0</v>
      </c>
      <c r="C20" s="6">
        <v>0.0</v>
      </c>
      <c r="D20" s="4"/>
      <c r="E20" s="4">
        <v>0.0</v>
      </c>
      <c r="F20" s="4"/>
      <c r="G20" s="4">
        <f t="shared" si="6"/>
        <v>0</v>
      </c>
      <c r="H20" s="4"/>
      <c r="I20" s="4"/>
      <c r="J20" s="4">
        <f t="shared" si="7"/>
        <v>0</v>
      </c>
      <c r="K20" s="9">
        <v>8.0</v>
      </c>
      <c r="L20" s="6">
        <f t="shared" si="8"/>
        <v>0</v>
      </c>
      <c r="M20" s="3" t="s">
        <v>47</v>
      </c>
    </row>
    <row r="21" ht="15.75" customHeight="1">
      <c r="A21" s="3"/>
      <c r="B21" s="3"/>
      <c r="C21" s="6"/>
      <c r="D21" s="3"/>
      <c r="E21" s="3"/>
      <c r="F21" s="3"/>
      <c r="G21" s="4"/>
      <c r="H21" s="4"/>
      <c r="I21" s="4"/>
      <c r="J21" s="4"/>
      <c r="K21" s="9"/>
      <c r="L21" s="6"/>
      <c r="M21" s="3"/>
    </row>
    <row r="22" ht="15.75" customHeight="1">
      <c r="A22" s="3"/>
      <c r="B22" s="3"/>
      <c r="C22" s="6"/>
      <c r="D22" s="3"/>
      <c r="E22" s="3"/>
      <c r="F22" s="3"/>
      <c r="G22" s="4"/>
      <c r="H22" s="4"/>
      <c r="I22" s="4"/>
      <c r="J22" s="4"/>
      <c r="K22" s="9"/>
      <c r="L22" s="6"/>
      <c r="M22" s="3"/>
    </row>
    <row r="23" ht="15.75" customHeight="1">
      <c r="A23" s="3"/>
      <c r="B23" s="3"/>
      <c r="C23" s="6"/>
      <c r="D23" s="3"/>
      <c r="E23" s="3"/>
      <c r="F23" s="3"/>
      <c r="G23" s="4"/>
      <c r="H23" s="4"/>
      <c r="I23" s="4"/>
      <c r="J23" s="4"/>
      <c r="K23" s="9"/>
      <c r="L23" s="6"/>
      <c r="M23" s="3"/>
    </row>
    <row r="24" ht="47.25" customHeight="1">
      <c r="A24" s="2" t="s">
        <v>48</v>
      </c>
      <c r="B24" s="7" t="s">
        <v>29</v>
      </c>
      <c r="C24" s="7" t="s">
        <v>30</v>
      </c>
      <c r="D24" s="2"/>
      <c r="E24" s="2"/>
      <c r="F24" s="2"/>
      <c r="G24" s="2"/>
      <c r="H24" s="2"/>
      <c r="I24" s="2"/>
      <c r="J24" s="7"/>
      <c r="K24" s="7" t="s">
        <v>34</v>
      </c>
      <c r="L24" s="2"/>
      <c r="M24" s="2"/>
    </row>
    <row r="25" ht="15.75" customHeight="1">
      <c r="A25" s="3" t="s">
        <v>49</v>
      </c>
      <c r="B25" s="9">
        <v>1.0</v>
      </c>
      <c r="C25" s="9">
        <v>850.0</v>
      </c>
      <c r="D25" s="4"/>
      <c r="E25" s="4"/>
      <c r="F25" s="4"/>
      <c r="G25" s="4"/>
      <c r="H25" s="4"/>
      <c r="I25" s="4"/>
      <c r="J25" s="9"/>
      <c r="K25" s="9">
        <v>8.0</v>
      </c>
      <c r="L25" s="6">
        <f t="shared" ref="L25:L26" si="9">C25*K25</f>
        <v>6800</v>
      </c>
      <c r="M25" s="8" t="s">
        <v>50</v>
      </c>
      <c r="N25" s="10" t="s">
        <v>51</v>
      </c>
    </row>
    <row r="26" ht="15.75" customHeight="1">
      <c r="A26" s="3" t="s">
        <v>52</v>
      </c>
      <c r="B26" s="4">
        <v>1.0</v>
      </c>
      <c r="C26" s="9">
        <v>750.0</v>
      </c>
      <c r="D26" s="4"/>
      <c r="E26" s="4"/>
      <c r="F26" s="4"/>
      <c r="G26" s="4"/>
      <c r="H26" s="4"/>
      <c r="I26" s="4"/>
      <c r="J26" s="4"/>
      <c r="K26" s="9">
        <v>8.0</v>
      </c>
      <c r="L26" s="6">
        <f t="shared" si="9"/>
        <v>6000</v>
      </c>
      <c r="M26" s="3" t="s">
        <v>53</v>
      </c>
    </row>
    <row r="27" ht="15.7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6"/>
      <c r="L27" s="6"/>
      <c r="M27" s="3"/>
    </row>
    <row r="28" ht="15.75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6"/>
      <c r="L28" s="6"/>
      <c r="M28" s="3"/>
    </row>
    <row r="29" ht="15.75" customHeight="1">
      <c r="A29" s="3"/>
      <c r="B29" s="4"/>
      <c r="C29" s="4"/>
      <c r="D29" s="4"/>
      <c r="E29" s="4"/>
      <c r="F29" s="4"/>
      <c r="G29" s="4"/>
      <c r="H29" s="4"/>
      <c r="I29" s="4"/>
      <c r="J29" s="4"/>
      <c r="K29" s="6"/>
      <c r="L29" s="6"/>
      <c r="M29" s="3"/>
    </row>
    <row r="30" ht="15.7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6"/>
      <c r="L30" s="6"/>
      <c r="M30" s="3"/>
    </row>
    <row r="31" ht="15.75" customHeight="1">
      <c r="A31" s="3"/>
      <c r="B31" s="4"/>
      <c r="C31" s="4"/>
      <c r="D31" s="4"/>
      <c r="E31" s="4"/>
      <c r="F31" s="4"/>
      <c r="G31" s="4"/>
      <c r="H31" s="4"/>
      <c r="I31" s="4"/>
      <c r="J31" s="4"/>
      <c r="K31" s="6"/>
      <c r="L31" s="6"/>
      <c r="M31" s="3"/>
    </row>
    <row r="32" ht="15.75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6"/>
      <c r="L32" s="6"/>
      <c r="M32" s="3"/>
    </row>
    <row r="33" ht="15.75" customHeight="1">
      <c r="A33" s="3"/>
      <c r="B33" s="4"/>
      <c r="C33" s="4"/>
      <c r="D33" s="4"/>
      <c r="E33" s="4"/>
      <c r="F33" s="4"/>
      <c r="G33" s="4"/>
      <c r="H33" s="4"/>
      <c r="I33" s="4"/>
      <c r="J33" s="4"/>
      <c r="K33" s="6"/>
      <c r="L33" s="6"/>
      <c r="M33" s="3"/>
    </row>
    <row r="34" ht="22.5" customHeight="1">
      <c r="A34" s="3"/>
      <c r="B34" s="3"/>
      <c r="C34" s="3"/>
      <c r="D34" s="3"/>
      <c r="E34" s="3"/>
      <c r="F34" s="3"/>
      <c r="G34" s="3"/>
      <c r="H34" s="3"/>
      <c r="I34" s="3"/>
      <c r="J34" s="11" t="s">
        <v>54</v>
      </c>
      <c r="L34" s="12">
        <f>SUM(L10:L33)</f>
        <v>54586.22222</v>
      </c>
      <c r="M34" s="3"/>
    </row>
    <row r="35" ht="15.75" customHeight="1">
      <c r="J35" s="13" t="s">
        <v>55</v>
      </c>
      <c r="L35" s="12">
        <f>SUM(L4:L8)</f>
        <v>359250.4</v>
      </c>
    </row>
    <row r="36" ht="23.25" customHeight="1">
      <c r="J36" s="11" t="s">
        <v>56</v>
      </c>
      <c r="L36" s="12">
        <f>SUM(L34:L35)</f>
        <v>413836.6223</v>
      </c>
    </row>
    <row r="37" ht="27.75" customHeight="1">
      <c r="J37" s="11" t="s">
        <v>57</v>
      </c>
      <c r="L37" s="12">
        <f>L36*0.15</f>
        <v>62075.49334</v>
      </c>
    </row>
    <row r="38" ht="27.0" customHeight="1">
      <c r="J38" s="11" t="s">
        <v>58</v>
      </c>
      <c r="L38" s="12">
        <f>L35*0.1</f>
        <v>35925.04</v>
      </c>
    </row>
    <row r="39" ht="15.75" customHeight="1">
      <c r="J39" s="14" t="s">
        <v>17</v>
      </c>
      <c r="K39" s="15"/>
      <c r="L39" s="16">
        <f>SUM(L35:L38)</f>
        <v>871087.5556</v>
      </c>
    </row>
    <row r="40" ht="15.75" customHeight="1"/>
    <row r="41" ht="15.75" customHeight="1"/>
    <row r="42" ht="15.75" customHeight="1">
      <c r="K42" s="17"/>
    </row>
    <row r="43" ht="15.75" customHeight="1"/>
    <row r="44" ht="15.75" customHeight="1">
      <c r="K44" s="1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34:K34"/>
    <mergeCell ref="J35:K35"/>
    <mergeCell ref="J36:K36"/>
    <mergeCell ref="J39:K39"/>
    <mergeCell ref="J37:K37"/>
    <mergeCell ref="J38:K38"/>
  </mergeCells>
  <hyperlinks>
    <hyperlink r:id="rId1" ref="N25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